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L1\上传github\01_Calibration_Data\"/>
    </mc:Choice>
  </mc:AlternateContent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<sst xmlns="http://schemas.openxmlformats.org/spreadsheetml/2006/main" count="27" uniqueCount="11">
  <si>
    <t xml:space="preserve"> direct scattering mode (405 nm)</t>
  </si>
  <si>
    <t>Pb(II) (μmol)</t>
  </si>
  <si>
    <t>Value 1</t>
  </si>
  <si>
    <t>Value 2</t>
  </si>
  <si>
    <t>Value 3</t>
  </si>
  <si>
    <t>Value 4</t>
  </si>
  <si>
    <t>Value 5</t>
  </si>
  <si>
    <t>Mean (μmol)</t>
  </si>
  <si>
    <t>SD</t>
  </si>
  <si>
    <t>indirect absorbance mode (405 nm)</t>
  </si>
  <si>
    <t>indirect absorbance mode (520 nm 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</si>
</sst>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 wrapText="1"/>
    </xf>
    <xf numFmtId="177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7"/>
  <sheetViews>
    <sheetView tabSelected="1" workbookViewId="0">
      <selection activeCell="K8" sqref="K8"/>
    </sheetView>
  </sheetViews>
  <sheetFormatPr defaultColWidth="11.1504424778761" defaultRowHeight="15.35"/>
  <cols>
    <col min="1" max="1" width="11.1504424778761" style="1" customWidth="1"/>
    <col min="2" max="2" width="16.8672566371681" style="1" customWidth="1"/>
    <col min="3" max="7" width="11.1504424778761" style="1" customWidth="1"/>
    <col min="8" max="8" width="14.6106194690265" style="1" customWidth="1"/>
    <col min="9" max="16384" width="11.1504424778761" style="1" customWidth="1"/>
  </cols>
  <sheetData>
    <row r="1" spans="2:9">
      <c r="B1" s="1" t="s">
        <v>0</v>
      </c>
    </row>
    <row r="2" spans="2:9"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 t="s">
        <v>7</v>
      </c>
      <c r="I2" s="1" t="s">
        <v>8</v>
      </c>
    </row>
    <row r="3" spans="2:9">
      <c r="B3" s="1">
        <v>5</v>
      </c>
      <c r="C3" s="3">
        <v>1.41481</v>
      </c>
      <c r="D3" s="3">
        <v>1.41781</v>
      </c>
      <c r="E3" s="3">
        <v>1.472</v>
      </c>
      <c r="F3" s="3">
        <v>1.406</v>
      </c>
      <c r="G3" s="3">
        <v>1.46373</v>
      </c>
      <c r="H3" s="3">
        <f t="shared" ref="H3:H8" si="0">AVERAGE(C3:G3)</f>
        <v>1.43487</v>
      </c>
      <c r="I3" s="3">
        <f t="shared" ref="I3:I8" si="1">_xlfn.STDEV.S(C3:G3)</f>
        <v>0.0305714760847429</v>
      </c>
    </row>
    <row r="4" spans="2:9">
      <c r="B4" s="1">
        <v>10</v>
      </c>
      <c r="C4" s="3">
        <v>1.54074</v>
      </c>
      <c r="D4" s="3">
        <v>1.5274</v>
      </c>
      <c r="E4" s="3">
        <v>1.528</v>
      </c>
      <c r="F4" s="3">
        <v>1.521</v>
      </c>
      <c r="G4" s="3">
        <v>1.54311</v>
      </c>
      <c r="H4" s="3">
        <f t="shared" si="0"/>
        <v>1.53205</v>
      </c>
      <c r="I4" s="3">
        <f t="shared" si="1"/>
        <v>0.00946001057081863</v>
      </c>
    </row>
    <row r="5" spans="2:9">
      <c r="B5" s="1">
        <v>20</v>
      </c>
      <c r="C5" s="3">
        <v>1.61832</v>
      </c>
      <c r="D5" s="3">
        <v>1.59854</v>
      </c>
      <c r="E5" s="3">
        <v>1.63115</v>
      </c>
      <c r="F5" s="3">
        <v>1.635</v>
      </c>
      <c r="G5" s="3">
        <v>1.59699</v>
      </c>
      <c r="H5" s="3">
        <f t="shared" si="0"/>
        <v>1.616</v>
      </c>
      <c r="I5" s="3">
        <f t="shared" si="1"/>
        <v>0.0177632809469421</v>
      </c>
    </row>
    <row r="6" spans="2:9">
      <c r="B6" s="1">
        <v>30</v>
      </c>
      <c r="C6" s="3">
        <v>1.75</v>
      </c>
      <c r="D6" s="3">
        <v>1.73134</v>
      </c>
      <c r="E6" s="3">
        <v>1.704</v>
      </c>
      <c r="F6" s="3">
        <v>1.744</v>
      </c>
      <c r="G6" s="3">
        <v>1.71291</v>
      </c>
      <c r="H6" s="3">
        <f t="shared" si="0"/>
        <v>1.72845</v>
      </c>
      <c r="I6" s="3">
        <f t="shared" si="1"/>
        <v>0.0197094596577379</v>
      </c>
    </row>
    <row r="7" spans="2:9">
      <c r="B7" s="1">
        <v>40</v>
      </c>
      <c r="C7" s="3">
        <v>1.808</v>
      </c>
      <c r="D7" s="3">
        <v>1.80303</v>
      </c>
      <c r="E7" s="3">
        <v>1.792</v>
      </c>
      <c r="F7" s="3">
        <v>1.803</v>
      </c>
      <c r="G7" s="3">
        <v>1.79902</v>
      </c>
      <c r="H7" s="3">
        <f t="shared" si="0"/>
        <v>1.80101</v>
      </c>
      <c r="I7" s="3">
        <f t="shared" si="1"/>
        <v>0.00595904354741585</v>
      </c>
    </row>
    <row r="8" spans="2:9">
      <c r="B8" s="1">
        <v>50</v>
      </c>
      <c r="C8" s="3">
        <v>1.84127</v>
      </c>
      <c r="D8" s="3">
        <v>1.86047</v>
      </c>
      <c r="E8" s="3">
        <v>1.89063</v>
      </c>
      <c r="F8" s="3">
        <v>1.872</v>
      </c>
      <c r="G8" s="3">
        <v>1.85623</v>
      </c>
      <c r="H8" s="3">
        <f t="shared" si="0"/>
        <v>1.86412</v>
      </c>
      <c r="I8" s="3">
        <f t="shared" si="1"/>
        <v>0.0184565137553114</v>
      </c>
    </row>
    <row r="11" spans="2:9">
      <c r="B11" s="1" t="s">
        <v>9</v>
      </c>
    </row>
    <row r="12" spans="2:9">
      <c r="B12" s="1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1" t="s">
        <v>7</v>
      </c>
      <c r="I12" s="1" t="s">
        <v>8</v>
      </c>
    </row>
    <row r="13" spans="2:9">
      <c r="B13" s="4">
        <v>0.1</v>
      </c>
      <c r="C13" s="5">
        <v>0.07539</v>
      </c>
      <c r="D13" s="5">
        <v>0.07745</v>
      </c>
      <c r="E13" s="5">
        <v>0.07745</v>
      </c>
      <c r="F13" s="5">
        <v>0.07796</v>
      </c>
      <c r="G13" s="5">
        <v>0.0756</v>
      </c>
      <c r="H13" s="6">
        <f>AVERAGE(C13:G13)</f>
        <v>0.07677</v>
      </c>
      <c r="I13" s="6">
        <f>_xlfn.STDEV.S(C13:G13)</f>
        <v>0.00118471515563869</v>
      </c>
    </row>
    <row r="14" spans="2:9">
      <c r="B14" s="4">
        <v>0.3</v>
      </c>
      <c r="C14" s="5">
        <v>0.07779</v>
      </c>
      <c r="D14" s="5">
        <v>0.07712</v>
      </c>
      <c r="E14" s="5">
        <v>0.07539</v>
      </c>
      <c r="F14" s="5">
        <v>0.07802</v>
      </c>
      <c r="G14" s="5">
        <v>0.07553</v>
      </c>
      <c r="H14" s="6">
        <f t="shared" ref="H14:H23" si="2">AVERAGE(C14:G14)</f>
        <v>0.07677</v>
      </c>
      <c r="I14" s="6">
        <f t="shared" ref="I14:I23" si="3">_xlfn.STDEV.S(C14:G14)</f>
        <v>0.00124171252711729</v>
      </c>
    </row>
    <row r="15" spans="2:9">
      <c r="B15" s="4">
        <v>0.5</v>
      </c>
      <c r="C15" s="5">
        <v>0.07366</v>
      </c>
      <c r="D15" s="5">
        <v>0.07506</v>
      </c>
      <c r="E15" s="5">
        <v>0.07255</v>
      </c>
      <c r="F15" s="5">
        <v>0.07503</v>
      </c>
      <c r="G15" s="5">
        <v>0.07255</v>
      </c>
      <c r="H15" s="6">
        <f t="shared" si="2"/>
        <v>0.07377</v>
      </c>
      <c r="I15" s="6">
        <f t="shared" si="3"/>
        <v>0.00124905964629396</v>
      </c>
    </row>
    <row r="16" spans="2:9">
      <c r="B16" s="4">
        <v>0.8</v>
      </c>
      <c r="C16" s="5">
        <v>0.06339</v>
      </c>
      <c r="D16" s="5">
        <v>0.0616</v>
      </c>
      <c r="E16" s="5">
        <v>0.06812</v>
      </c>
      <c r="F16" s="5">
        <v>0.06775</v>
      </c>
      <c r="G16" s="5">
        <v>0.061</v>
      </c>
      <c r="H16" s="6">
        <f t="shared" si="2"/>
        <v>0.064372</v>
      </c>
      <c r="I16" s="6">
        <f t="shared" si="3"/>
        <v>0.00337183481208674</v>
      </c>
    </row>
    <row r="17" spans="2:9">
      <c r="B17" s="4">
        <v>1</v>
      </c>
      <c r="C17" s="5">
        <v>0.05528</v>
      </c>
      <c r="D17" s="5">
        <v>0.0575</v>
      </c>
      <c r="E17" s="5">
        <v>0.05528</v>
      </c>
      <c r="F17" s="5">
        <v>0.0573</v>
      </c>
      <c r="G17" s="5">
        <v>0.05474</v>
      </c>
      <c r="H17" s="6">
        <f t="shared" si="2"/>
        <v>0.05602</v>
      </c>
      <c r="I17" s="6">
        <f t="shared" si="3"/>
        <v>0.00128085908670704</v>
      </c>
    </row>
    <row r="18" spans="2:9">
      <c r="B18" s="4">
        <v>2</v>
      </c>
      <c r="C18" s="5">
        <v>0.04246</v>
      </c>
      <c r="D18" s="5">
        <v>0.04413</v>
      </c>
      <c r="E18" s="5">
        <v>0.04625</v>
      </c>
      <c r="F18" s="5">
        <v>0.04618</v>
      </c>
      <c r="G18" s="5">
        <v>0.0424</v>
      </c>
      <c r="H18" s="6">
        <f t="shared" si="2"/>
        <v>0.044284</v>
      </c>
      <c r="I18" s="6">
        <f t="shared" si="3"/>
        <v>0.00189473744883031</v>
      </c>
    </row>
    <row r="19" spans="2:9">
      <c r="B19" s="4">
        <v>3</v>
      </c>
      <c r="C19" s="5">
        <v>0.03629</v>
      </c>
      <c r="D19" s="5">
        <v>0.04194</v>
      </c>
      <c r="E19" s="5">
        <v>0.04194</v>
      </c>
      <c r="F19" s="5">
        <v>0.04332</v>
      </c>
      <c r="G19" s="5">
        <v>0.0368</v>
      </c>
      <c r="H19" s="6">
        <f t="shared" si="2"/>
        <v>0.040058</v>
      </c>
      <c r="I19" s="6">
        <f t="shared" si="3"/>
        <v>0.00326101517935749</v>
      </c>
    </row>
    <row r="20" spans="2:9">
      <c r="B20" s="4">
        <v>5</v>
      </c>
      <c r="C20" s="5">
        <v>0.03728</v>
      </c>
      <c r="D20" s="5">
        <v>0.04269</v>
      </c>
      <c r="E20" s="5">
        <v>0.03951</v>
      </c>
      <c r="F20" s="5">
        <v>0.04252</v>
      </c>
      <c r="G20" s="5">
        <v>0.0371</v>
      </c>
      <c r="H20" s="6">
        <f t="shared" si="2"/>
        <v>0.03982</v>
      </c>
      <c r="I20" s="6">
        <f t="shared" si="3"/>
        <v>0.00271445206257174</v>
      </c>
    </row>
    <row r="21" spans="2:9">
      <c r="B21" s="4">
        <v>10</v>
      </c>
      <c r="C21" s="5">
        <v>0.03415</v>
      </c>
      <c r="D21" s="5">
        <v>0.03521</v>
      </c>
      <c r="E21" s="5">
        <v>0.03136</v>
      </c>
      <c r="F21" s="5">
        <v>0.03558</v>
      </c>
      <c r="G21" s="5">
        <v>0.0316</v>
      </c>
      <c r="H21" s="6">
        <f t="shared" si="2"/>
        <v>0.03358</v>
      </c>
      <c r="I21" s="6">
        <f t="shared" si="3"/>
        <v>0.001989384326871</v>
      </c>
    </row>
    <row r="22" spans="2:9">
      <c r="B22" s="4">
        <v>15</v>
      </c>
      <c r="C22" s="5">
        <v>0.03371</v>
      </c>
      <c r="D22" s="5">
        <v>0.03177</v>
      </c>
      <c r="E22" s="5">
        <v>0.03401</v>
      </c>
      <c r="F22" s="5">
        <v>0.03437</v>
      </c>
      <c r="G22" s="5">
        <v>0.03192</v>
      </c>
      <c r="H22" s="6">
        <f t="shared" si="2"/>
        <v>0.033156</v>
      </c>
      <c r="I22" s="6">
        <f t="shared" si="3"/>
        <v>0.00122052447742763</v>
      </c>
    </row>
    <row r="23" spans="2:9">
      <c r="B23" s="4">
        <v>20</v>
      </c>
      <c r="C23" s="5">
        <v>0.02958</v>
      </c>
      <c r="D23" s="5">
        <v>0.02945</v>
      </c>
      <c r="E23" s="5">
        <v>0.03342</v>
      </c>
      <c r="F23" s="5">
        <v>0.03308</v>
      </c>
      <c r="G23" s="5">
        <v>0.02856</v>
      </c>
      <c r="H23" s="6">
        <f t="shared" si="2"/>
        <v>0.030818</v>
      </c>
      <c r="I23" s="6">
        <f t="shared" si="3"/>
        <v>0.00225774666426506</v>
      </c>
    </row>
    <row r="26" spans="2:9">
      <c r="B26" s="1" t="s">
        <v>10</v>
      </c>
    </row>
    <row r="27" spans="2:9">
      <c r="B27" s="1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1" t="s">
        <v>7</v>
      </c>
      <c r="I27" s="1" t="s">
        <v>8</v>
      </c>
    </row>
    <row r="28" spans="2:9">
      <c r="B28" s="1">
        <v>0.2</v>
      </c>
      <c r="C28" s="6">
        <v>0.0425</v>
      </c>
      <c r="D28" s="6">
        <v>0.04394</v>
      </c>
      <c r="E28" s="6">
        <v>0.04122</v>
      </c>
      <c r="F28" s="6">
        <v>0.04043</v>
      </c>
      <c r="G28" s="6">
        <v>0.03809</v>
      </c>
      <c r="H28" s="6">
        <v>0.04124</v>
      </c>
      <c r="I28" s="6">
        <v>0.00221</v>
      </c>
    </row>
    <row r="29" spans="2:9">
      <c r="B29" s="1">
        <v>0.3</v>
      </c>
      <c r="C29" s="6">
        <v>0.04895</v>
      </c>
      <c r="D29" s="6">
        <v>0.04501</v>
      </c>
      <c r="E29" s="6">
        <v>0.04004</v>
      </c>
      <c r="F29" s="6">
        <v>0.04936</v>
      </c>
      <c r="G29" s="6">
        <v>0.04001</v>
      </c>
      <c r="H29" s="6">
        <v>0.04467</v>
      </c>
      <c r="I29" s="6">
        <v>0.00457</v>
      </c>
    </row>
    <row r="30" spans="2:9">
      <c r="B30" s="1">
        <v>0.5</v>
      </c>
      <c r="C30" s="6">
        <v>0.06252</v>
      </c>
      <c r="D30" s="6">
        <v>0.05799</v>
      </c>
      <c r="E30" s="6">
        <v>0.06042</v>
      </c>
      <c r="F30" s="6">
        <v>0.06156</v>
      </c>
      <c r="G30" s="6">
        <v>0.05912</v>
      </c>
      <c r="H30" s="6">
        <v>0.06032</v>
      </c>
      <c r="I30" s="6">
        <v>0.00182</v>
      </c>
    </row>
    <row r="31" spans="2:9">
      <c r="B31" s="1">
        <v>0.8</v>
      </c>
      <c r="C31" s="6">
        <v>0.08478</v>
      </c>
      <c r="D31" s="6">
        <v>0.08432</v>
      </c>
      <c r="E31" s="6">
        <v>0.08387</v>
      </c>
      <c r="F31" s="6">
        <v>0.08552</v>
      </c>
      <c r="G31" s="6">
        <v>0.08312</v>
      </c>
      <c r="H31" s="6">
        <v>0.08432</v>
      </c>
      <c r="I31" s="6">
        <v>0.00091</v>
      </c>
    </row>
    <row r="32" spans="2:9">
      <c r="B32" s="1">
        <v>1</v>
      </c>
      <c r="C32" s="6">
        <v>0.10756</v>
      </c>
      <c r="D32" s="6">
        <v>0.09691</v>
      </c>
      <c r="E32" s="6">
        <v>0.10623</v>
      </c>
      <c r="F32" s="6">
        <v>0.10712</v>
      </c>
      <c r="G32" s="6">
        <v>0.10002</v>
      </c>
      <c r="H32" s="6">
        <v>0.10357</v>
      </c>
      <c r="I32" s="6">
        <v>0.00481</v>
      </c>
    </row>
    <row r="33" spans="2:9">
      <c r="B33" s="1">
        <v>2</v>
      </c>
      <c r="C33" s="6">
        <v>0.11731</v>
      </c>
      <c r="D33" s="6">
        <v>0.10855</v>
      </c>
      <c r="E33" s="6">
        <v>0.10646</v>
      </c>
      <c r="F33" s="6">
        <v>0.11651</v>
      </c>
      <c r="G33" s="6">
        <v>0.105</v>
      </c>
      <c r="H33" s="6">
        <v>0.11077</v>
      </c>
      <c r="I33" s="6">
        <v>0.00576</v>
      </c>
    </row>
    <row r="34" spans="2:9">
      <c r="B34" s="1">
        <v>3</v>
      </c>
      <c r="C34" s="6">
        <v>0.1256</v>
      </c>
      <c r="D34" s="6">
        <v>0.12564</v>
      </c>
      <c r="E34" s="6">
        <v>0.10227</v>
      </c>
      <c r="F34" s="6">
        <v>0.13138</v>
      </c>
      <c r="G34" s="6">
        <v>0.10438</v>
      </c>
      <c r="H34" s="6">
        <v>0.11785</v>
      </c>
      <c r="I34" s="6">
        <v>0.01349</v>
      </c>
    </row>
    <row r="35" spans="2:9">
      <c r="B35" s="1">
        <v>5</v>
      </c>
      <c r="C35" s="6">
        <v>0.12227</v>
      </c>
      <c r="D35" s="6">
        <v>0.12359</v>
      </c>
      <c r="E35" s="6">
        <v>0.14118</v>
      </c>
      <c r="F35" s="6">
        <v>0.13957</v>
      </c>
      <c r="G35" s="6">
        <v>0.11845</v>
      </c>
      <c r="H35" s="6">
        <v>0.12901</v>
      </c>
      <c r="I35" s="6">
        <v>0.01056</v>
      </c>
    </row>
    <row r="36" spans="2:9">
      <c r="B36" s="1">
        <v>10</v>
      </c>
      <c r="C36" s="6">
        <v>0.1347</v>
      </c>
      <c r="D36" s="6">
        <v>0.152</v>
      </c>
      <c r="E36" s="6">
        <v>0.1533</v>
      </c>
      <c r="F36" s="6">
        <v>0.15691</v>
      </c>
      <c r="G36" s="6">
        <v>0.13622</v>
      </c>
      <c r="H36" s="6">
        <v>0.14663</v>
      </c>
      <c r="I36" s="6">
        <v>0.01036</v>
      </c>
    </row>
    <row r="37" spans="2:9">
      <c r="B37" s="1">
        <v>15</v>
      </c>
      <c r="C37" s="6">
        <v>0.14857</v>
      </c>
      <c r="D37" s="6">
        <v>0.15548</v>
      </c>
      <c r="E37" s="6">
        <v>0.15462</v>
      </c>
      <c r="F37" s="6">
        <v>0.15664</v>
      </c>
      <c r="G37" s="6">
        <v>0.14913</v>
      </c>
      <c r="H37" s="6">
        <v>0.15289</v>
      </c>
      <c r="I37" s="6">
        <v>0.00376</v>
      </c>
    </row>
  </sheetData>
  <mergeCells count="3">
    <mergeCell ref="B1:I1"/>
    <mergeCell ref="B11:I11"/>
    <mergeCell ref="B26:I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Tang</dc:creator>
  <cp:lastModifiedBy>谢宛岑</cp:lastModifiedBy>
  <dcterms:created xsi:type="dcterms:W3CDTF">2023-05-12T11:15:00Z</dcterms:created>
  <dcterms:modified xsi:type="dcterms:W3CDTF">2026-09-11T08:30:12Z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CFA4D3D32C1B4C29B2C13CB35915B866_12</vt:lpwstr>
  </property>
  <property fmtid="{D5CDD505-2E9C-101B-9397-08002B2CF9AE}" pid="4" name="CalculationRule">
    <vt:i4>0</vt:i4>
  </property>
</Properties>
</file>